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917444a_student_gla_ac_uk/Documents/Year 3/ENG3049 Team Design Project EE3/TDP Team 7 Fileshare/5 - Research, Datasheets, and Manuals/5-1 - Research/Motor Curves/"/>
    </mc:Choice>
  </mc:AlternateContent>
  <xr:revisionPtr revIDLastSave="18" documentId="8_{913367C5-1A9E-4D9C-8855-D10BF2F756BD}" xr6:coauthVersionLast="47" xr6:coauthVersionMax="47" xr10:uidLastSave="{1E52DCA8-3D9D-46CE-9DDA-B58915CDE4DB}"/>
  <bookViews>
    <workbookView xWindow="-103" yWindow="-103" windowWidth="24892" windowHeight="14914" activeTab="1" xr2:uid="{B5DB0182-949F-404D-8E33-FBA907B608C3}"/>
  </bookViews>
  <sheets>
    <sheet name="motor_performance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13" i="1"/>
</calcChain>
</file>

<file path=xl/sharedStrings.xml><?xml version="1.0" encoding="utf-8"?>
<sst xmlns="http://schemas.openxmlformats.org/spreadsheetml/2006/main" count="11" uniqueCount="9">
  <si>
    <t>Torque (Kgcm)</t>
  </si>
  <si>
    <t>Pout (Output Power)</t>
  </si>
  <si>
    <t>Amp (Current)</t>
  </si>
  <si>
    <t>Eff (Efficiency)</t>
  </si>
  <si>
    <t>y = -97.659x + 200</t>
  </si>
  <si>
    <t>I to RPM</t>
  </si>
  <si>
    <t>RPM to M/S</t>
  </si>
  <si>
    <t>M/s = RPM* 0.012566</t>
  </si>
  <si>
    <t>RPM (Speed)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</si>
</sst>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motor_performance_data!$B$1</c:f>
              <c:strCache>
                <c:ptCount val="1"/>
                <c:pt idx="0">
                  <c:v>Pout (Output Power)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motor_performance_data!$A$2:$A$11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motor_performance_data!$B$2:$B$11</c:f>
              <c:numCache>
                <c:formatCode>General</c:formatCode>
                <c:ptCount val="10"/>
                <c:pt idx="0">
                  <c:v>0</c:v>
                </c:pt>
                <c:pt idx="1">
                  <c:v>0.85</c:v>
                </c:pt>
                <c:pt idx="2">
                  <c:v>1.55</c:v>
                </c:pt>
                <c:pt idx="3">
                  <c:v>2.1</c:v>
                </c:pt>
                <c:pt idx="4">
                  <c:v>2.4500000000000002</c:v>
                </c:pt>
                <c:pt idx="5">
                  <c:v>2.65</c:v>
                </c:pt>
                <c:pt idx="6">
                  <c:v>2.5499999999999998</c:v>
                </c:pt>
                <c:pt idx="7">
                  <c:v>2.2000000000000002</c:v>
                </c:pt>
                <c:pt idx="8">
                  <c:v>1.6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C3-4C26-A18F-492450CF5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767359"/>
        <c:axId val="1264794239"/>
      </c:scatterChart>
      <c:valAx>
        <c:axId val="126476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94239"/>
        <c:crosses val="autoZero"/>
        <c:crossBetween val="midCat"/>
      </c:valAx>
      <c:valAx>
        <c:axId val="126479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6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motor_performance_data!$C$1</c:f>
              <c:strCache>
                <c:ptCount val="1"/>
                <c:pt idx="0">
                  <c:v>Amp (Current)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motor_performance_data!$A$2:$A$11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motor_performance_data!$C$2:$C$11</c:f>
              <c:numCache>
                <c:formatCode>General</c:formatCode>
                <c:ptCount val="10"/>
                <c:pt idx="0">
                  <c:v>0</c:v>
                </c:pt>
                <c:pt idx="1">
                  <c:v>0.32</c:v>
                </c:pt>
                <c:pt idx="2">
                  <c:v>0.53</c:v>
                </c:pt>
                <c:pt idx="3">
                  <c:v>0.74</c:v>
                </c:pt>
                <c:pt idx="4">
                  <c:v>0.95</c:v>
                </c:pt>
                <c:pt idx="5">
                  <c:v>1.1599999999999999</c:v>
                </c:pt>
                <c:pt idx="6">
                  <c:v>1.37</c:v>
                </c:pt>
                <c:pt idx="7">
                  <c:v>1.58</c:v>
                </c:pt>
                <c:pt idx="8">
                  <c:v>1.79</c:v>
                </c:pt>
                <c:pt idx="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62-4CAF-B6CF-8EC1C39D1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775039"/>
        <c:axId val="1264782719"/>
      </c:scatterChart>
      <c:valAx>
        <c:axId val="126477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82719"/>
        <c:crosses val="autoZero"/>
        <c:crossBetween val="midCat"/>
      </c:valAx>
      <c:valAx>
        <c:axId val="12647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7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motor_performance_data!$D$1</c:f>
              <c:strCache>
                <c:ptCount val="1"/>
                <c:pt idx="0">
                  <c:v>Eff (Efficiency)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motor_performance_data!$A$2:$A$11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motor_performance_data!$D$2:$D$11</c:f>
              <c:numCache>
                <c:formatCode>General</c:formatCode>
                <c:ptCount val="10"/>
                <c:pt idx="0">
                  <c:v>0</c:v>
                </c:pt>
                <c:pt idx="1">
                  <c:v>0.44</c:v>
                </c:pt>
                <c:pt idx="2">
                  <c:v>0.42</c:v>
                </c:pt>
                <c:pt idx="3">
                  <c:v>0.38</c:v>
                </c:pt>
                <c:pt idx="4">
                  <c:v>0.34</c:v>
                </c:pt>
                <c:pt idx="5">
                  <c:v>0.3</c:v>
                </c:pt>
                <c:pt idx="6">
                  <c:v>0.24</c:v>
                </c:pt>
                <c:pt idx="7">
                  <c:v>0.18</c:v>
                </c:pt>
                <c:pt idx="8">
                  <c:v>0.12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57-4E4A-B45C-0F967AC5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354640"/>
        <c:axId val="1825348880"/>
      </c:scatterChart>
      <c:valAx>
        <c:axId val="182535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48880"/>
        <c:crosses val="autoZero"/>
        <c:crossBetween val="midCat"/>
      </c:valAx>
      <c:valAx>
        <c:axId val="18253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5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motor_performance_data!$E$1</c:f>
              <c:strCache>
                <c:ptCount val="1"/>
                <c:pt idx="0">
                  <c:v>RPM (Speed)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motor_performance_data!$A$2:$A$11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motor_performance_data!$E$2:$E$11</c:f>
              <c:numCache>
                <c:formatCode>General</c:formatCode>
                <c:ptCount val="10"/>
                <c:pt idx="0">
                  <c:v>200</c:v>
                </c:pt>
                <c:pt idx="1">
                  <c:v>178</c:v>
                </c:pt>
                <c:pt idx="2">
                  <c:v>155</c:v>
                </c:pt>
                <c:pt idx="3">
                  <c:v>133</c:v>
                </c:pt>
                <c:pt idx="4">
                  <c:v>111</c:v>
                </c:pt>
                <c:pt idx="5">
                  <c:v>89</c:v>
                </c:pt>
                <c:pt idx="6">
                  <c:v>67</c:v>
                </c:pt>
                <c:pt idx="7">
                  <c:v>44</c:v>
                </c:pt>
                <c:pt idx="8">
                  <c:v>22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C-4A15-ADEE-A50B24FE5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332560"/>
        <c:axId val="1825310480"/>
      </c:scatterChart>
      <c:valAx>
        <c:axId val="182533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10480"/>
        <c:crosses val="autoZero"/>
        <c:crossBetween val="midCat"/>
      </c:valAx>
      <c:valAx>
        <c:axId val="18253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3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motor_performance_data!$E$1</c:f>
              <c:strCache>
                <c:ptCount val="1"/>
                <c:pt idx="0">
                  <c:v>RPM (Speed)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20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motor_performance_data!$C$2:$C$11</c:f>
              <c:numCache>
                <c:formatCode>General</c:formatCode>
                <c:ptCount val="10"/>
                <c:pt idx="0">
                  <c:v>0</c:v>
                </c:pt>
                <c:pt idx="1">
                  <c:v>0.32</c:v>
                </c:pt>
                <c:pt idx="2">
                  <c:v>0.53</c:v>
                </c:pt>
                <c:pt idx="3">
                  <c:v>0.74</c:v>
                </c:pt>
                <c:pt idx="4">
                  <c:v>0.95</c:v>
                </c:pt>
                <c:pt idx="5">
                  <c:v>1.1599999999999999</c:v>
                </c:pt>
                <c:pt idx="6">
                  <c:v>1.37</c:v>
                </c:pt>
                <c:pt idx="7">
                  <c:v>1.58</c:v>
                </c:pt>
                <c:pt idx="8">
                  <c:v>1.79</c:v>
                </c:pt>
                <c:pt idx="9">
                  <c:v>2</c:v>
                </c:pt>
              </c:numCache>
            </c:numRef>
          </c:xVal>
          <c:yVal>
            <c:numRef>
              <c:f>motor_performance_data!$E$2:$E$11</c:f>
              <c:numCache>
                <c:formatCode>General</c:formatCode>
                <c:ptCount val="10"/>
                <c:pt idx="0">
                  <c:v>200</c:v>
                </c:pt>
                <c:pt idx="1">
                  <c:v>178</c:v>
                </c:pt>
                <c:pt idx="2">
                  <c:v>155</c:v>
                </c:pt>
                <c:pt idx="3">
                  <c:v>133</c:v>
                </c:pt>
                <c:pt idx="4">
                  <c:v>111</c:v>
                </c:pt>
                <c:pt idx="5">
                  <c:v>89</c:v>
                </c:pt>
                <c:pt idx="6">
                  <c:v>67</c:v>
                </c:pt>
                <c:pt idx="7">
                  <c:v>44</c:v>
                </c:pt>
                <c:pt idx="8">
                  <c:v>22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C-46CF-80F9-F0D6653A7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317200"/>
        <c:axId val="1825310000"/>
      </c:scatterChart>
      <c:valAx>
        <c:axId val="182531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10000"/>
        <c:crosses val="autoZero"/>
        <c:crossBetween val="midCat"/>
      </c:valAx>
      <c:valAx>
        <c:axId val="18253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1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Torque (Kgcm)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0.32</c:v>
                </c:pt>
                <c:pt idx="2">
                  <c:v>0.53</c:v>
                </c:pt>
                <c:pt idx="3">
                  <c:v>0.74</c:v>
                </c:pt>
                <c:pt idx="4">
                  <c:v>0.95</c:v>
                </c:pt>
                <c:pt idx="5">
                  <c:v>1.1599999999999999</c:v>
                </c:pt>
                <c:pt idx="6">
                  <c:v>1.37</c:v>
                </c:pt>
                <c:pt idx="7">
                  <c:v>1.58</c:v>
                </c:pt>
                <c:pt idx="8">
                  <c:v>1.79</c:v>
                </c:pt>
                <c:pt idx="9">
                  <c:v>2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A-4F8B-80A9-E219DA74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37487"/>
        <c:axId val="340839407"/>
      </c:scatterChart>
      <c:valAx>
        <c:axId val="34083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39407"/>
        <c:crosses val="autoZero"/>
        <c:crossBetween val="midCat"/>
      </c:valAx>
      <c:valAx>
        <c:axId val="34083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3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376237</xdr:colOff>
      <xdr:row>16</xdr:row>
      <xdr:rowOff>138112</xdr:rowOff>
    </xdr:from>
    <xdr:to>
      <xdr:col>18</xdr:col>
      <xdr:colOff>147637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428E7-FF61-EE60-00A3-76EBE4A52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795337</xdr:colOff>
      <xdr:row>16</xdr:row>
      <xdr:rowOff>166687</xdr:rowOff>
    </xdr:from>
    <xdr:to>
      <xdr:col>11</xdr:col>
      <xdr:colOff>280987</xdr:colOff>
      <xdr:row>32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84C0B3-3A2B-B8D0-8909-440F96476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357187</xdr:colOff>
      <xdr:row>1</xdr:row>
      <xdr:rowOff>23812</xdr:rowOff>
    </xdr:from>
    <xdr:to>
      <xdr:col>18</xdr:col>
      <xdr:colOff>128587</xdr:colOff>
      <xdr:row>16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0AC52-C493-C5B5-998E-2728D7D26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414337</xdr:colOff>
      <xdr:row>1</xdr:row>
      <xdr:rowOff>33337</xdr:rowOff>
    </xdr:from>
    <xdr:to>
      <xdr:col>12</xdr:col>
      <xdr:colOff>185737</xdr:colOff>
      <xdr:row>16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CD130-32D1-A57C-AB7D-7F8BBFA9D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52387</xdr:colOff>
      <xdr:row>13</xdr:row>
      <xdr:rowOff>71437</xdr:rowOff>
    </xdr:from>
    <xdr:to>
      <xdr:col>4</xdr:col>
      <xdr:colOff>38100</xdr:colOff>
      <xdr:row>28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88EAB9-DB48-1791-9726-9E77940B7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68035</xdr:colOff>
      <xdr:row>3</xdr:row>
      <xdr:rowOff>125185</xdr:rowOff>
    </xdr:from>
    <xdr:to>
      <xdr:col>12</xdr:col>
      <xdr:colOff>68035</xdr:colOff>
      <xdr:row>18</xdr:row>
      <xdr:rowOff>92527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61B5F-3ED6-F235-B102-994408C57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41BA-7741-4656-B0C8-972BAB5E40EF}">
  <dimension ref="A1:E36"/>
  <sheetViews>
    <sheetView workbookViewId="0">
      <selection sqref="A1:A11"/>
    </sheetView>
  </sheetViews>
  <sheetFormatPr defaultRowHeight="14.6" x14ac:dyDescent="0.4"/>
  <cols>
    <col min="1" max="1" width="13.3828125" bestFit="1" customWidth="1"/>
    <col min="2" max="2" width="17.84375" bestFit="1" customWidth="1"/>
    <col min="3" max="3" width="12.3828125" bestFit="1" customWidth="1"/>
    <col min="4" max="5" width="12.69140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4">
      <c r="A2">
        <v>0</v>
      </c>
      <c r="B2">
        <v>0</v>
      </c>
      <c r="C2">
        <v>0</v>
      </c>
      <c r="D2">
        <v>0</v>
      </c>
      <c r="E2">
        <v>200</v>
      </c>
    </row>
    <row r="3" spans="1:5" x14ac:dyDescent="0.4">
      <c r="A3">
        <v>0.5</v>
      </c>
      <c r="B3">
        <v>0.85</v>
      </c>
      <c r="C3">
        <v>0.32</v>
      </c>
      <c r="D3">
        <v>0.44</v>
      </c>
      <c r="E3">
        <v>178</v>
      </c>
    </row>
    <row r="4" spans="1:5" x14ac:dyDescent="0.4">
      <c r="A4">
        <v>1</v>
      </c>
      <c r="B4">
        <v>1.55</v>
      </c>
      <c r="C4">
        <v>0.53</v>
      </c>
      <c r="D4">
        <v>0.42</v>
      </c>
      <c r="E4">
        <v>155</v>
      </c>
    </row>
    <row r="5" spans="1:5" x14ac:dyDescent="0.4">
      <c r="A5">
        <v>1.5</v>
      </c>
      <c r="B5">
        <v>2.1</v>
      </c>
      <c r="C5">
        <v>0.74</v>
      </c>
      <c r="D5">
        <v>0.38</v>
      </c>
      <c r="E5">
        <v>133</v>
      </c>
    </row>
    <row r="6" spans="1:5" x14ac:dyDescent="0.4">
      <c r="A6">
        <v>2</v>
      </c>
      <c r="B6">
        <v>2.4500000000000002</v>
      </c>
      <c r="C6">
        <v>0.95</v>
      </c>
      <c r="D6">
        <v>0.34</v>
      </c>
      <c r="E6">
        <v>111</v>
      </c>
    </row>
    <row r="7" spans="1:5" x14ac:dyDescent="0.4">
      <c r="A7">
        <v>2.5</v>
      </c>
      <c r="B7">
        <v>2.65</v>
      </c>
      <c r="C7">
        <v>1.1599999999999999</v>
      </c>
      <c r="D7">
        <v>0.3</v>
      </c>
      <c r="E7">
        <v>89</v>
      </c>
    </row>
    <row r="8" spans="1:5" x14ac:dyDescent="0.4">
      <c r="A8">
        <v>3</v>
      </c>
      <c r="B8">
        <v>2.5499999999999998</v>
      </c>
      <c r="C8">
        <v>1.37</v>
      </c>
      <c r="D8">
        <v>0.24</v>
      </c>
      <c r="E8">
        <v>67</v>
      </c>
    </row>
    <row r="9" spans="1:5" x14ac:dyDescent="0.4">
      <c r="A9">
        <v>3.5</v>
      </c>
      <c r="B9">
        <v>2.2000000000000002</v>
      </c>
      <c r="C9">
        <v>1.58</v>
      </c>
      <c r="D9">
        <v>0.18</v>
      </c>
      <c r="E9">
        <v>44</v>
      </c>
    </row>
    <row r="10" spans="1:5" x14ac:dyDescent="0.4">
      <c r="A10">
        <v>4</v>
      </c>
      <c r="B10">
        <v>1.6</v>
      </c>
      <c r="C10">
        <v>1.79</v>
      </c>
      <c r="D10">
        <v>0.12</v>
      </c>
      <c r="E10">
        <v>22</v>
      </c>
    </row>
    <row r="11" spans="1:5" x14ac:dyDescent="0.4">
      <c r="A11">
        <v>4.5</v>
      </c>
      <c r="B11">
        <v>0</v>
      </c>
      <c r="C11">
        <v>2</v>
      </c>
      <c r="D11">
        <v>0</v>
      </c>
      <c r="E11">
        <v>0</v>
      </c>
    </row>
    <row r="13" spans="1:5" x14ac:dyDescent="0.4">
      <c r="B13">
        <f>MAX(B2:B11)</f>
        <v>2.65</v>
      </c>
    </row>
    <row r="33" spans="2:3" x14ac:dyDescent="0.4">
      <c r="B33" t="s">
        <v>5</v>
      </c>
      <c r="C33" t="s">
        <v>6</v>
      </c>
    </row>
    <row r="34" spans="2:3" x14ac:dyDescent="0.4">
      <c r="B34" t="s">
        <v>4</v>
      </c>
      <c r="C34" t="s">
        <v>7</v>
      </c>
    </row>
    <row r="35" spans="2:3" x14ac:dyDescent="0.4">
      <c r="B35">
        <v>1.9</v>
      </c>
    </row>
    <row r="36" spans="2:3" x14ac:dyDescent="0.4">
      <c r="B36">
        <f>-97.659*B35+200</f>
        <v>14.447900000000004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D654-3070-4D68-B719-D772BFBA23FE}">
  <dimension ref="A1:B11"/>
  <sheetViews>
    <sheetView tabSelected="1" workbookViewId="0">
      <selection activeCell="J22" sqref="J22"/>
    </sheetView>
  </sheetViews>
  <sheetFormatPr defaultRowHeight="14.6" x14ac:dyDescent="0.4"/>
  <cols>
    <col min="1" max="1" width="12.15234375" bestFit="1" customWidth="1"/>
    <col min="2" max="2" width="12.3828125" bestFit="1" customWidth="1"/>
  </cols>
  <sheetData>
    <row r="1" spans="1:2" x14ac:dyDescent="0.4">
      <c r="A1" t="s">
        <v>2</v>
      </c>
      <c r="B1" t="s">
        <v>0</v>
      </c>
    </row>
    <row r="2" spans="1:2" x14ac:dyDescent="0.4">
      <c r="A2">
        <v>0</v>
      </c>
      <c r="B2">
        <v>0</v>
      </c>
    </row>
    <row r="3" spans="1:2" x14ac:dyDescent="0.4">
      <c r="A3">
        <v>0.32</v>
      </c>
      <c r="B3">
        <v>0.5</v>
      </c>
    </row>
    <row r="4" spans="1:2" x14ac:dyDescent="0.4">
      <c r="A4">
        <v>0.53</v>
      </c>
      <c r="B4">
        <v>1</v>
      </c>
    </row>
    <row r="5" spans="1:2" x14ac:dyDescent="0.4">
      <c r="A5">
        <v>0.74</v>
      </c>
      <c r="B5">
        <v>1.5</v>
      </c>
    </row>
    <row r="6" spans="1:2" x14ac:dyDescent="0.4">
      <c r="A6">
        <v>0.95</v>
      </c>
      <c r="B6">
        <v>2</v>
      </c>
    </row>
    <row r="7" spans="1:2" x14ac:dyDescent="0.4">
      <c r="A7">
        <v>1.1599999999999999</v>
      </c>
      <c r="B7">
        <v>2.5</v>
      </c>
    </row>
    <row r="8" spans="1:2" x14ac:dyDescent="0.4">
      <c r="A8">
        <v>1.37</v>
      </c>
      <c r="B8">
        <v>3</v>
      </c>
    </row>
    <row r="9" spans="1:2" x14ac:dyDescent="0.4">
      <c r="A9">
        <v>1.58</v>
      </c>
      <c r="B9">
        <v>3.5</v>
      </c>
    </row>
    <row r="10" spans="1:2" x14ac:dyDescent="0.4">
      <c r="A10">
        <v>1.79</v>
      </c>
      <c r="B10">
        <v>4</v>
      </c>
    </row>
    <row r="11" spans="1:2" x14ac:dyDescent="0.4">
      <c r="A11">
        <v>2</v>
      </c>
      <c r="B11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motor_performance_data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 Muhammad Aziz (student)</cp:lastModifiedBy>
  <dcterms:created xsi:type="dcterms:W3CDTF">2026-03-07T22:35:15Z</dcterms:created>
  <dcterms:modified xsi:type="dcterms:W3CDTF">2026-03-23T22:12:32Z</dcterms:modified>
</cp:coreProperties>
</file>